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244a7dee83705c3/Documents/"/>
    </mc:Choice>
  </mc:AlternateContent>
  <xr:revisionPtr revIDLastSave="0" documentId="8_{E2599149-2BE1-4249-A37B-E164E05BBDDB}" xr6:coauthVersionLast="47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Employee Data" sheetId="1" r:id="rId1"/>
    <sheet name="Analysis" sheetId="2" r:id="rId2"/>
    <sheet name="Charts" sheetId="4" r:id="rId3"/>
    <sheet name="Summary" sheetId="3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2" l="1"/>
  <c r="B34" i="2"/>
  <c r="B33" i="2"/>
  <c r="B32" i="2"/>
  <c r="B26" i="2"/>
  <c r="C26" i="2" s="1"/>
  <c r="C25" i="2"/>
  <c r="B25" i="2"/>
  <c r="B21" i="2"/>
  <c r="B20" i="2"/>
  <c r="B19" i="2"/>
  <c r="B18" i="2"/>
  <c r="B17" i="2"/>
  <c r="B16" i="2"/>
  <c r="B11" i="2"/>
  <c r="E10" i="2"/>
  <c r="B10" i="2"/>
  <c r="C10" i="2" s="1"/>
  <c r="E9" i="2"/>
  <c r="B9" i="2"/>
  <c r="C9" i="2" s="1"/>
  <c r="E8" i="2"/>
  <c r="C8" i="2"/>
  <c r="B8" i="2"/>
  <c r="E7" i="2"/>
  <c r="B7" i="2"/>
  <c r="C7" i="2" s="1"/>
  <c r="E6" i="2"/>
  <c r="B6" i="2"/>
  <c r="C6" i="2" s="1"/>
  <c r="E5" i="2"/>
  <c r="B5" i="2"/>
  <c r="C5" i="2" s="1"/>
  <c r="E4" i="2"/>
</calcChain>
</file>

<file path=xl/sharedStrings.xml><?xml version="1.0" encoding="utf-8"?>
<sst xmlns="http://schemas.openxmlformats.org/spreadsheetml/2006/main" count="260" uniqueCount="106">
  <si>
    <t>Employee ID</t>
  </si>
  <si>
    <t>Name</t>
  </si>
  <si>
    <t>Age</t>
  </si>
  <si>
    <t>Gender</t>
  </si>
  <si>
    <t>Department</t>
  </si>
  <si>
    <t>Salary</t>
  </si>
  <si>
    <t>Joining Date</t>
  </si>
  <si>
    <t>Female</t>
  </si>
  <si>
    <t>Sales</t>
  </si>
  <si>
    <t>01-01-2022</t>
  </si>
  <si>
    <t>Male</t>
  </si>
  <si>
    <t>Finance</t>
  </si>
  <si>
    <t>01-01-2024</t>
  </si>
  <si>
    <t>Rajesh_3</t>
  </si>
  <si>
    <t>Suresh_4</t>
  </si>
  <si>
    <t>01-01-2020</t>
  </si>
  <si>
    <t>Rajesh_5</t>
  </si>
  <si>
    <t>IT</t>
  </si>
  <si>
    <t>Suresh_6</t>
  </si>
  <si>
    <t>HR</t>
  </si>
  <si>
    <t>01-01-2023</t>
  </si>
  <si>
    <t>Sneha_7</t>
  </si>
  <si>
    <t>01-01-2017</t>
  </si>
  <si>
    <t>Neha_8</t>
  </si>
  <si>
    <t>01-01-2019</t>
  </si>
  <si>
    <t>Suresh_9</t>
  </si>
  <si>
    <t>Operations</t>
  </si>
  <si>
    <t>Amit_10</t>
  </si>
  <si>
    <t>Marketing</t>
  </si>
  <si>
    <t>Sneha_11</t>
  </si>
  <si>
    <t>Amit_12</t>
  </si>
  <si>
    <t>01-01-2021</t>
  </si>
  <si>
    <t>Ananya_13</t>
  </si>
  <si>
    <t>01-01-2016</t>
  </si>
  <si>
    <t>Divya_14</t>
  </si>
  <si>
    <t>Karthik_15</t>
  </si>
  <si>
    <t>Suresh_16</t>
  </si>
  <si>
    <t>Arjun_17</t>
  </si>
  <si>
    <t>Arjun_18</t>
  </si>
  <si>
    <t>Divya_19</t>
  </si>
  <si>
    <t>Neha_20</t>
  </si>
  <si>
    <t>Rahul_21</t>
  </si>
  <si>
    <t>Rajesh_22</t>
  </si>
  <si>
    <t>Shreya_23</t>
  </si>
  <si>
    <t>Ananya_24</t>
  </si>
  <si>
    <t>Suresh_25</t>
  </si>
  <si>
    <t>Rajesh_26</t>
  </si>
  <si>
    <t>Sneha_27</t>
  </si>
  <si>
    <t>Amit_28</t>
  </si>
  <si>
    <t>Vikram_29</t>
  </si>
  <si>
    <t>01-01-2018</t>
  </si>
  <si>
    <t>Suresh_30</t>
  </si>
  <si>
    <t>Sneha_31</t>
  </si>
  <si>
    <t>Amit_32</t>
  </si>
  <si>
    <t>Divya_33</t>
  </si>
  <si>
    <t>Divya_34</t>
  </si>
  <si>
    <t>Divya_35</t>
  </si>
  <si>
    <t>Sakshi_36</t>
  </si>
  <si>
    <t>Neha_37</t>
  </si>
  <si>
    <t>Priya_38</t>
  </si>
  <si>
    <t>Neha_39</t>
  </si>
  <si>
    <t>Vikram_40</t>
  </si>
  <si>
    <t>Amit_41</t>
  </si>
  <si>
    <t>Rajesh_42</t>
  </si>
  <si>
    <t>Sakshi_43</t>
  </si>
  <si>
    <t>Rajesh_44</t>
  </si>
  <si>
    <t>Sakshi_45</t>
  </si>
  <si>
    <t>Priya_46</t>
  </si>
  <si>
    <t>Ananya_47</t>
  </si>
  <si>
    <t>Divya_48</t>
  </si>
  <si>
    <t>Amit_49</t>
  </si>
  <si>
    <t>Divya_50</t>
  </si>
  <si>
    <t>Employee Demographic Analysis Report</t>
  </si>
  <si>
    <t>TASK 1: Employee Distribution by Department</t>
  </si>
  <si>
    <t>KEY STATISTICS</t>
  </si>
  <si>
    <t>Count</t>
  </si>
  <si>
    <t>Percentage</t>
  </si>
  <si>
    <t>Total Employees</t>
  </si>
  <si>
    <t>Male Employees</t>
  </si>
  <si>
    <t>Female Employees</t>
  </si>
  <si>
    <t>Average Age</t>
  </si>
  <si>
    <t>Average Salary (₹)</t>
  </si>
  <si>
    <t>Highest Salary (₹)</t>
  </si>
  <si>
    <t>Lowest Salary (₹)</t>
  </si>
  <si>
    <t>Total</t>
  </si>
  <si>
    <t>TASK 3: Average Salary by Department</t>
  </si>
  <si>
    <t>Gender Distribution</t>
  </si>
  <si>
    <t>Age Group Distribution</t>
  </si>
  <si>
    <t>Age Range</t>
  </si>
  <si>
    <t>20-30</t>
  </si>
  <si>
    <t>31-40</t>
  </si>
  <si>
    <t>41-50</t>
  </si>
  <si>
    <t>51-60</t>
  </si>
  <si>
    <t>Understand and analyze the demographic distribution of employees across different departments, genders, age groups, and salary ranges in the organization.</t>
  </si>
  <si>
    <t>Dataset Overview:</t>
  </si>
  <si>
    <t>Columns: Employee ID, Name, Age, Gender, Department, Salary, Joining Date</t>
  </si>
  <si>
    <t>Departments: HR, Sales, IT, Marketing, Finance, Operations</t>
  </si>
  <si>
    <t>Analysis Performed:</t>
  </si>
  <si>
    <t>Neha</t>
  </si>
  <si>
    <t>Neha 2</t>
  </si>
  <si>
    <t>Task 1: Distribution of employees across departments</t>
  </si>
  <si>
    <t xml:space="preserve"> Task 2: Gender split and age distribution visualization (see Charts sheet)</t>
  </si>
  <si>
    <t xml:space="preserve"> Task 3: Average salary by department analysis</t>
  </si>
  <si>
    <t xml:space="preserve"> Employee Demographic Analysis</t>
  </si>
  <si>
    <t>Project</t>
  </si>
  <si>
    <t xml:space="preserve"> Data Visualizations And charts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</si>
</sst>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 &quot;#,##0"/>
    <numFmt numFmtId="165" formatCode="0.0%"/>
    <numFmt numFmtId="166" formatCode="0.0"/>
  </numFmts>
  <fonts count="7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color rgb="FF1F4E78"/>
      <name val="Cambria"/>
      <charset val="1"/>
    </font>
    <font>
      <b/>
      <sz val="11"/>
      <color theme="1"/>
      <name val="Cambria"/>
      <family val="1"/>
    </font>
    <font>
      <b/>
      <sz val="1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003366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D9E1F2"/>
      </patternFill>
    </fill>
    <fill>
      <patternFill patternType="solid">
        <fgColor theme="8" tint="0.79998168889431442"/>
        <bgColor rgb="FFD9E1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0" fontId="4" fillId="5" borderId="1" xfId="0" applyFont="1" applyFill="1" applyBorder="1"/>
    <xf numFmtId="0" fontId="1" fillId="5" borderId="1" xfId="0" applyFont="1" applyFill="1" applyBorder="1"/>
    <xf numFmtId="0" fontId="0" fillId="6" borderId="0" xfId="0" applyFill="1"/>
    <xf numFmtId="0" fontId="1" fillId="3" borderId="0" xfId="0" applyFont="1" applyFill="1"/>
    <xf numFmtId="0" fontId="5" fillId="2" borderId="0" xfId="0" applyFont="1" applyFill="1" applyAlignment="1">
      <alignment horizontal="center" vertical="center"/>
    </xf>
    <xf numFmtId="0" fontId="3" fillId="0" borderId="0" xfId="0" applyFont="1"/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Employee Distribution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B84-45B1-A809-B56BE9895D0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B84-45B1-A809-B56BE9895D0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B84-45B1-A809-B56BE9895D0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B84-45B1-A809-B56BE9895D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Analysis!$A$25:$A$26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Analysis!$B$25:$B$26</c:f>
              <c:numCache>
                <c:formatCode>General</c:formatCode>
                <c:ptCount val="2"/>
                <c:pt idx="0">
                  <c:v>28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84-45B1-A809-B56BE9895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Employee Distribution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Analysis!$A$5:$A$10</c:f>
              <c:strCache>
                <c:ptCount val="6"/>
                <c:pt idx="0">
                  <c:v>HR</c:v>
                </c:pt>
                <c:pt idx="1">
                  <c:v>Sales</c:v>
                </c:pt>
                <c:pt idx="2">
                  <c:v>IT</c:v>
                </c:pt>
                <c:pt idx="3">
                  <c:v>Marketing</c:v>
                </c:pt>
                <c:pt idx="4">
                  <c:v>Finance</c:v>
                </c:pt>
                <c:pt idx="5">
                  <c:v>Operations</c:v>
                </c:pt>
              </c:strCache>
            </c:strRef>
          </c:cat>
          <c:val>
            <c:numRef>
              <c:f>Analysis!$B$5:$B$10</c:f>
              <c:numCache>
                <c:formatCode>General</c:formatCode>
                <c:ptCount val="6"/>
                <c:pt idx="0">
                  <c:v>9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D-4853-84A5-D57516B15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849085"/>
        <c:axId val="4115689"/>
      </c:barChart>
      <c:catAx>
        <c:axId val="448490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15689"/>
        <c:crosses val="autoZero"/>
        <c:auto val="1"/>
        <c:lblAlgn val="ctr"/>
        <c:lblOffset val="100"/>
        <c:noMultiLvlLbl val="0"/>
      </c:catAx>
      <c:valAx>
        <c:axId val="41156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8490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Age Distribution of Employees (Histogram)</a:t>
            </a:r>
          </a:p>
        </c:rich>
      </c:tx>
      <c:layout>
        <c:manualLayout>
          <c:xMode val="edge"/>
          <c:yMode val="edge"/>
          <c:x val="0.16341678681009944"/>
          <c:y val="3.980099502487562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Analysis!$A$32:$A$35</c:f>
              <c:strCache>
                <c:ptCount val="4"/>
                <c:pt idx="0">
                  <c:v>20-30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</c:strCache>
            </c:strRef>
          </c:cat>
          <c:val>
            <c:numRef>
              <c:f>Analysis!$B$32:$B$35</c:f>
              <c:numCache>
                <c:formatCode>General</c:formatCode>
                <c:ptCount val="4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E-4A5F-9338-2D94BFBD4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28140"/>
        <c:axId val="66321838"/>
      </c:barChart>
      <c:catAx>
        <c:axId val="321281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321838"/>
        <c:crosses val="autoZero"/>
        <c:auto val="1"/>
        <c:lblAlgn val="ctr"/>
        <c:lblOffset val="100"/>
        <c:noMultiLvlLbl val="0"/>
      </c:catAx>
      <c:valAx>
        <c:axId val="663218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1281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Salary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Average Salary (₹)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Analysis!$A$16:$A$21</c:f>
              <c:strCache>
                <c:ptCount val="6"/>
                <c:pt idx="0">
                  <c:v>HR</c:v>
                </c:pt>
                <c:pt idx="1">
                  <c:v>Sales</c:v>
                </c:pt>
                <c:pt idx="2">
                  <c:v>IT</c:v>
                </c:pt>
                <c:pt idx="3">
                  <c:v>Marketing</c:v>
                </c:pt>
                <c:pt idx="4">
                  <c:v>Finance</c:v>
                </c:pt>
                <c:pt idx="5">
                  <c:v>Operations</c:v>
                </c:pt>
              </c:strCache>
            </c:strRef>
          </c:cat>
          <c:val>
            <c:numRef>
              <c:f>Analysis!$B$16:$B$21</c:f>
              <c:numCache>
                <c:formatCode>"₹ "#,##0</c:formatCode>
                <c:ptCount val="6"/>
                <c:pt idx="0">
                  <c:v>47441.777777777781</c:v>
                </c:pt>
                <c:pt idx="1">
                  <c:v>49050</c:v>
                </c:pt>
                <c:pt idx="2">
                  <c:v>59408.125</c:v>
                </c:pt>
                <c:pt idx="3">
                  <c:v>52269.142857142855</c:v>
                </c:pt>
                <c:pt idx="4">
                  <c:v>65122.25</c:v>
                </c:pt>
                <c:pt idx="5">
                  <c:v>47471.375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4-4CC6-BBD7-BA3BE34FE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144273"/>
        <c:axId val="33312434"/>
      </c:barChart>
      <c:catAx>
        <c:axId val="941442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312434"/>
        <c:crosses val="autoZero"/>
        <c:auto val="1"/>
        <c:lblAlgn val="ctr"/>
        <c:lblOffset val="100"/>
        <c:noMultiLvlLbl val="0"/>
      </c:catAx>
      <c:valAx>
        <c:axId val="333124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Salary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1442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403860</xdr:colOff>
      <xdr:row>12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83820</xdr:colOff>
      <xdr:row>1</xdr:row>
      <xdr:rowOff>137160</xdr:rowOff>
    </xdr:from>
    <xdr:to>
      <xdr:col>14</xdr:col>
      <xdr:colOff>182880</xdr:colOff>
      <xdr:row>12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106680</xdr:colOff>
      <xdr:row>12</xdr:row>
      <xdr:rowOff>15240</xdr:rowOff>
    </xdr:from>
    <xdr:to>
      <xdr:col>6</xdr:col>
      <xdr:colOff>91440</xdr:colOff>
      <xdr:row>26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213360</xdr:colOff>
      <xdr:row>13</xdr:row>
      <xdr:rowOff>38100</xdr:rowOff>
    </xdr:from>
    <xdr:to>
      <xdr:col>13</xdr:col>
      <xdr:colOff>294240</xdr:colOff>
      <xdr:row>27</xdr:row>
      <xdr:rowOff>102060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zoomScaleNormal="100" workbookViewId="0">
      <selection activeCell="C22" sqref="C22"/>
    </sheetView>
  </sheetViews>
  <sheetFormatPr defaultColWidth="8.6640625" defaultRowHeight="14.4" x14ac:dyDescent="0.3"/>
  <cols>
    <col min="1" max="1" width="22.77734375" customWidth="1"/>
    <col min="2" max="2" width="28.5546875" customWidth="1"/>
    <col min="3" max="3" width="20.6640625" customWidth="1"/>
    <col min="4" max="4" width="22.88671875" customWidth="1"/>
    <col min="5" max="5" width="41.44140625" customWidth="1"/>
    <col min="6" max="6" width="22.77734375" customWidth="1"/>
    <col min="7" max="7" width="28.88671875" customWidth="1"/>
  </cols>
  <sheetData>
    <row r="1" spans="1:7" ht="1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ht="15" customHeight="1" x14ac:dyDescent="0.3">
      <c r="A2" s="2">
        <v>1</v>
      </c>
      <c r="B2" s="3" t="s">
        <v>98</v>
      </c>
      <c r="C2" s="2">
        <v>23</v>
      </c>
      <c r="D2" s="2" t="s">
        <v>7</v>
      </c>
      <c r="E2" s="2" t="s">
        <v>8</v>
      </c>
      <c r="F2" s="4">
        <v>39157</v>
      </c>
      <c r="G2" s="2" t="s">
        <v>9</v>
      </c>
    </row>
    <row r="3" spans="1:7" ht="15" customHeight="1" x14ac:dyDescent="0.3">
      <c r="A3" s="2">
        <v>2</v>
      </c>
      <c r="B3" s="3" t="s">
        <v>99</v>
      </c>
      <c r="C3" s="2">
        <v>56</v>
      </c>
      <c r="D3" s="2" t="s">
        <v>10</v>
      </c>
      <c r="E3" s="2" t="s">
        <v>11</v>
      </c>
      <c r="F3" s="4">
        <v>66912</v>
      </c>
      <c r="G3" s="2" t="s">
        <v>12</v>
      </c>
    </row>
    <row r="4" spans="1:7" ht="15" customHeight="1" x14ac:dyDescent="0.3">
      <c r="A4" s="2">
        <v>3</v>
      </c>
      <c r="B4" s="3" t="s">
        <v>13</v>
      </c>
      <c r="C4" s="2">
        <v>27</v>
      </c>
      <c r="D4" s="2" t="s">
        <v>10</v>
      </c>
      <c r="E4" s="2" t="s">
        <v>8</v>
      </c>
      <c r="F4" s="4">
        <v>45779</v>
      </c>
      <c r="G4" s="2" t="s">
        <v>12</v>
      </c>
    </row>
    <row r="5" spans="1:7" ht="15" customHeight="1" x14ac:dyDescent="0.3">
      <c r="A5" s="2">
        <v>4</v>
      </c>
      <c r="B5" s="3" t="s">
        <v>14</v>
      </c>
      <c r="C5" s="2">
        <v>56</v>
      </c>
      <c r="D5" s="2" t="s">
        <v>7</v>
      </c>
      <c r="E5" s="2" t="s">
        <v>8</v>
      </c>
      <c r="F5" s="4">
        <v>59359</v>
      </c>
      <c r="G5" s="2" t="s">
        <v>15</v>
      </c>
    </row>
    <row r="6" spans="1:7" ht="15" customHeight="1" x14ac:dyDescent="0.3">
      <c r="A6" s="2">
        <v>5</v>
      </c>
      <c r="B6" s="3" t="s">
        <v>16</v>
      </c>
      <c r="C6" s="2">
        <v>32</v>
      </c>
      <c r="D6" s="2" t="s">
        <v>7</v>
      </c>
      <c r="E6" s="2" t="s">
        <v>17</v>
      </c>
      <c r="F6" s="4">
        <v>54552</v>
      </c>
      <c r="G6" s="2" t="s">
        <v>9</v>
      </c>
    </row>
    <row r="7" spans="1:7" ht="15" customHeight="1" x14ac:dyDescent="0.3">
      <c r="A7" s="2">
        <v>6</v>
      </c>
      <c r="B7" s="3" t="s">
        <v>18</v>
      </c>
      <c r="C7" s="2">
        <v>43</v>
      </c>
      <c r="D7" s="2" t="s">
        <v>10</v>
      </c>
      <c r="E7" s="2" t="s">
        <v>19</v>
      </c>
      <c r="F7" s="4">
        <v>46724</v>
      </c>
      <c r="G7" s="2" t="s">
        <v>20</v>
      </c>
    </row>
    <row r="8" spans="1:7" ht="15" customHeight="1" x14ac:dyDescent="0.3">
      <c r="A8" s="2">
        <v>7</v>
      </c>
      <c r="B8" s="3" t="s">
        <v>21</v>
      </c>
      <c r="C8" s="2">
        <v>44</v>
      </c>
      <c r="D8" s="2" t="s">
        <v>7</v>
      </c>
      <c r="E8" s="2" t="s">
        <v>19</v>
      </c>
      <c r="F8" s="4">
        <v>52955</v>
      </c>
      <c r="G8" s="2" t="s">
        <v>22</v>
      </c>
    </row>
    <row r="9" spans="1:7" ht="15" customHeight="1" x14ac:dyDescent="0.3">
      <c r="A9" s="2">
        <v>8</v>
      </c>
      <c r="B9" s="3" t="s">
        <v>23</v>
      </c>
      <c r="C9" s="2">
        <v>46</v>
      </c>
      <c r="D9" s="2" t="s">
        <v>10</v>
      </c>
      <c r="E9" s="2" t="s">
        <v>11</v>
      </c>
      <c r="F9" s="4">
        <v>59803</v>
      </c>
      <c r="G9" s="2" t="s">
        <v>24</v>
      </c>
    </row>
    <row r="10" spans="1:7" ht="15" customHeight="1" x14ac:dyDescent="0.3">
      <c r="A10" s="2">
        <v>9</v>
      </c>
      <c r="B10" s="3" t="s">
        <v>25</v>
      </c>
      <c r="C10" s="2">
        <v>26</v>
      </c>
      <c r="D10" s="2" t="s">
        <v>10</v>
      </c>
      <c r="E10" s="2" t="s">
        <v>26</v>
      </c>
      <c r="F10" s="4">
        <v>38733</v>
      </c>
      <c r="G10" s="2" t="s">
        <v>15</v>
      </c>
    </row>
    <row r="11" spans="1:7" ht="15" customHeight="1" x14ac:dyDescent="0.3">
      <c r="A11" s="2">
        <v>10</v>
      </c>
      <c r="B11" s="3" t="s">
        <v>27</v>
      </c>
      <c r="C11" s="2">
        <v>36</v>
      </c>
      <c r="D11" s="2" t="s">
        <v>10</v>
      </c>
      <c r="E11" s="2" t="s">
        <v>28</v>
      </c>
      <c r="F11" s="4">
        <v>48554</v>
      </c>
      <c r="G11" s="2" t="s">
        <v>22</v>
      </c>
    </row>
    <row r="12" spans="1:7" ht="15" customHeight="1" x14ac:dyDescent="0.3">
      <c r="A12" s="2">
        <v>11</v>
      </c>
      <c r="B12" s="3" t="s">
        <v>29</v>
      </c>
      <c r="C12" s="2">
        <v>32</v>
      </c>
      <c r="D12" s="2" t="s">
        <v>7</v>
      </c>
      <c r="E12" s="2" t="s">
        <v>17</v>
      </c>
      <c r="F12" s="4">
        <v>53432</v>
      </c>
      <c r="G12" s="2" t="s">
        <v>15</v>
      </c>
    </row>
    <row r="13" spans="1:7" ht="15" customHeight="1" x14ac:dyDescent="0.3">
      <c r="A13" s="2">
        <v>12</v>
      </c>
      <c r="B13" s="3" t="s">
        <v>30</v>
      </c>
      <c r="C13" s="2">
        <v>60</v>
      </c>
      <c r="D13" s="2" t="s">
        <v>10</v>
      </c>
      <c r="E13" s="2" t="s">
        <v>11</v>
      </c>
      <c r="F13" s="4">
        <v>73946</v>
      </c>
      <c r="G13" s="2" t="s">
        <v>31</v>
      </c>
    </row>
    <row r="14" spans="1:7" ht="15" customHeight="1" x14ac:dyDescent="0.3">
      <c r="A14" s="2">
        <v>13</v>
      </c>
      <c r="B14" s="3" t="s">
        <v>32</v>
      </c>
      <c r="C14" s="2">
        <v>51</v>
      </c>
      <c r="D14" s="2" t="s">
        <v>7</v>
      </c>
      <c r="E14" s="2" t="s">
        <v>17</v>
      </c>
      <c r="F14" s="4">
        <v>69985</v>
      </c>
      <c r="G14" s="2" t="s">
        <v>33</v>
      </c>
    </row>
    <row r="15" spans="1:7" ht="15" customHeight="1" x14ac:dyDescent="0.3">
      <c r="A15" s="2">
        <v>14</v>
      </c>
      <c r="B15" s="3" t="s">
        <v>34</v>
      </c>
      <c r="C15" s="2">
        <v>42</v>
      </c>
      <c r="D15" s="2" t="s">
        <v>10</v>
      </c>
      <c r="E15" s="2" t="s">
        <v>8</v>
      </c>
      <c r="F15" s="4">
        <v>58464</v>
      </c>
      <c r="G15" s="2" t="s">
        <v>12</v>
      </c>
    </row>
    <row r="16" spans="1:7" ht="15" customHeight="1" x14ac:dyDescent="0.3">
      <c r="A16" s="2">
        <v>15</v>
      </c>
      <c r="B16" s="3" t="s">
        <v>35</v>
      </c>
      <c r="C16" s="2">
        <v>47</v>
      </c>
      <c r="D16" s="2" t="s">
        <v>7</v>
      </c>
      <c r="E16" s="2" t="s">
        <v>19</v>
      </c>
      <c r="F16" s="4">
        <v>45956</v>
      </c>
      <c r="G16" s="2" t="s">
        <v>24</v>
      </c>
    </row>
    <row r="17" spans="1:7" ht="15" customHeight="1" x14ac:dyDescent="0.3">
      <c r="A17" s="2">
        <v>16</v>
      </c>
      <c r="B17" s="3" t="s">
        <v>36</v>
      </c>
      <c r="C17" s="2">
        <v>53</v>
      </c>
      <c r="D17" s="2" t="s">
        <v>7</v>
      </c>
      <c r="E17" s="2" t="s">
        <v>26</v>
      </c>
      <c r="F17" s="4">
        <v>56017</v>
      </c>
      <c r="G17" s="2" t="s">
        <v>9</v>
      </c>
    </row>
    <row r="18" spans="1:7" ht="15" customHeight="1" x14ac:dyDescent="0.3">
      <c r="A18" s="2">
        <v>17</v>
      </c>
      <c r="B18" s="3" t="s">
        <v>37</v>
      </c>
      <c r="C18" s="2">
        <v>30</v>
      </c>
      <c r="D18" s="2" t="s">
        <v>10</v>
      </c>
      <c r="E18" s="2" t="s">
        <v>26</v>
      </c>
      <c r="F18" s="4">
        <v>46197</v>
      </c>
      <c r="G18" s="2" t="s">
        <v>33</v>
      </c>
    </row>
    <row r="19" spans="1:7" ht="15" customHeight="1" x14ac:dyDescent="0.3">
      <c r="A19" s="2">
        <v>18</v>
      </c>
      <c r="B19" s="3" t="s">
        <v>38</v>
      </c>
      <c r="C19" s="2">
        <v>59</v>
      </c>
      <c r="D19" s="2" t="s">
        <v>7</v>
      </c>
      <c r="E19" s="2" t="s">
        <v>11</v>
      </c>
      <c r="F19" s="4">
        <v>68043</v>
      </c>
      <c r="G19" s="2" t="s">
        <v>24</v>
      </c>
    </row>
    <row r="20" spans="1:7" ht="15" customHeight="1" x14ac:dyDescent="0.3">
      <c r="A20" s="2">
        <v>19</v>
      </c>
      <c r="B20" s="3" t="s">
        <v>39</v>
      </c>
      <c r="C20" s="2">
        <v>30</v>
      </c>
      <c r="D20" s="2" t="s">
        <v>7</v>
      </c>
      <c r="E20" s="2" t="s">
        <v>19</v>
      </c>
      <c r="F20" s="4">
        <v>46382</v>
      </c>
      <c r="G20" s="2" t="s">
        <v>12</v>
      </c>
    </row>
    <row r="21" spans="1:7" ht="15" customHeight="1" x14ac:dyDescent="0.3">
      <c r="A21" s="2">
        <v>20</v>
      </c>
      <c r="B21" s="3" t="s">
        <v>40</v>
      </c>
      <c r="C21" s="2">
        <v>31</v>
      </c>
      <c r="D21" s="2" t="s">
        <v>10</v>
      </c>
      <c r="E21" s="2" t="s">
        <v>26</v>
      </c>
      <c r="F21" s="4">
        <v>44416</v>
      </c>
      <c r="G21" s="2" t="s">
        <v>20</v>
      </c>
    </row>
    <row r="22" spans="1:7" ht="15" customHeight="1" x14ac:dyDescent="0.3">
      <c r="A22" s="2">
        <v>21</v>
      </c>
      <c r="B22" s="3" t="s">
        <v>41</v>
      </c>
      <c r="C22" s="2">
        <v>46</v>
      </c>
      <c r="D22" s="2" t="s">
        <v>7</v>
      </c>
      <c r="E22" s="2" t="s">
        <v>11</v>
      </c>
      <c r="F22" s="4">
        <v>59119</v>
      </c>
      <c r="G22" s="2" t="s">
        <v>33</v>
      </c>
    </row>
    <row r="23" spans="1:7" ht="15" customHeight="1" x14ac:dyDescent="0.3">
      <c r="A23" s="2">
        <v>22</v>
      </c>
      <c r="B23" s="3" t="s">
        <v>42</v>
      </c>
      <c r="C23" s="2">
        <v>29</v>
      </c>
      <c r="D23" s="2" t="s">
        <v>7</v>
      </c>
      <c r="E23" s="2" t="s">
        <v>26</v>
      </c>
      <c r="F23" s="4">
        <v>42073</v>
      </c>
      <c r="G23" s="2" t="s">
        <v>20</v>
      </c>
    </row>
    <row r="24" spans="1:7" ht="15" customHeight="1" x14ac:dyDescent="0.3">
      <c r="A24" s="2">
        <v>23</v>
      </c>
      <c r="B24" s="3" t="s">
        <v>43</v>
      </c>
      <c r="C24" s="2">
        <v>49</v>
      </c>
      <c r="D24" s="2" t="s">
        <v>10</v>
      </c>
      <c r="E24" s="2" t="s">
        <v>28</v>
      </c>
      <c r="F24" s="4">
        <v>50553</v>
      </c>
      <c r="G24" s="2" t="s">
        <v>15</v>
      </c>
    </row>
    <row r="25" spans="1:7" ht="15" customHeight="1" x14ac:dyDescent="0.3">
      <c r="A25" s="2">
        <v>24</v>
      </c>
      <c r="B25" s="3" t="s">
        <v>44</v>
      </c>
      <c r="C25" s="2">
        <v>54</v>
      </c>
      <c r="D25" s="2" t="s">
        <v>10</v>
      </c>
      <c r="E25" s="2" t="s">
        <v>26</v>
      </c>
      <c r="F25" s="4">
        <v>53889</v>
      </c>
      <c r="G25" s="2" t="s">
        <v>33</v>
      </c>
    </row>
    <row r="26" spans="1:7" ht="15" customHeight="1" x14ac:dyDescent="0.3">
      <c r="A26" s="2">
        <v>25</v>
      </c>
      <c r="B26" s="3" t="s">
        <v>45</v>
      </c>
      <c r="C26" s="2">
        <v>31</v>
      </c>
      <c r="D26" s="2" t="s">
        <v>7</v>
      </c>
      <c r="E26" s="2" t="s">
        <v>8</v>
      </c>
      <c r="F26" s="4">
        <v>48337</v>
      </c>
      <c r="G26" s="2" t="s">
        <v>33</v>
      </c>
    </row>
    <row r="27" spans="1:7" ht="15" customHeight="1" x14ac:dyDescent="0.3">
      <c r="A27" s="2">
        <v>26</v>
      </c>
      <c r="B27" s="3" t="s">
        <v>46</v>
      </c>
      <c r="C27" s="2">
        <v>60</v>
      </c>
      <c r="D27" s="2" t="s">
        <v>7</v>
      </c>
      <c r="E27" s="2" t="s">
        <v>28</v>
      </c>
      <c r="F27" s="4">
        <v>56319</v>
      </c>
      <c r="G27" s="2" t="s">
        <v>20</v>
      </c>
    </row>
    <row r="28" spans="1:7" ht="15" customHeight="1" x14ac:dyDescent="0.3">
      <c r="A28" s="2">
        <v>27</v>
      </c>
      <c r="B28" s="3" t="s">
        <v>47</v>
      </c>
      <c r="C28" s="2">
        <v>41</v>
      </c>
      <c r="D28" s="2" t="s">
        <v>10</v>
      </c>
      <c r="E28" s="2" t="s">
        <v>19</v>
      </c>
      <c r="F28" s="4">
        <v>43446</v>
      </c>
      <c r="G28" s="2" t="s">
        <v>20</v>
      </c>
    </row>
    <row r="29" spans="1:7" ht="15" customHeight="1" x14ac:dyDescent="0.3">
      <c r="A29" s="2">
        <v>28</v>
      </c>
      <c r="B29" s="3" t="s">
        <v>48</v>
      </c>
      <c r="C29" s="2">
        <v>53</v>
      </c>
      <c r="D29" s="2" t="s">
        <v>10</v>
      </c>
      <c r="E29" s="2" t="s">
        <v>11</v>
      </c>
      <c r="F29" s="4">
        <v>71047</v>
      </c>
      <c r="G29" s="2" t="s">
        <v>9</v>
      </c>
    </row>
    <row r="30" spans="1:7" ht="15" customHeight="1" x14ac:dyDescent="0.3">
      <c r="A30" s="2">
        <v>29</v>
      </c>
      <c r="B30" s="3" t="s">
        <v>49</v>
      </c>
      <c r="C30" s="2">
        <v>52</v>
      </c>
      <c r="D30" s="2" t="s">
        <v>10</v>
      </c>
      <c r="E30" s="2" t="s">
        <v>17</v>
      </c>
      <c r="F30" s="4">
        <v>68645</v>
      </c>
      <c r="G30" s="2" t="s">
        <v>50</v>
      </c>
    </row>
    <row r="31" spans="1:7" ht="15" customHeight="1" x14ac:dyDescent="0.3">
      <c r="A31" s="2">
        <v>30</v>
      </c>
      <c r="B31" s="3" t="s">
        <v>51</v>
      </c>
      <c r="C31" s="2">
        <v>56</v>
      </c>
      <c r="D31" s="2" t="s">
        <v>10</v>
      </c>
      <c r="E31" s="2" t="s">
        <v>26</v>
      </c>
      <c r="F31" s="4">
        <v>55107</v>
      </c>
      <c r="G31" s="2" t="s">
        <v>50</v>
      </c>
    </row>
    <row r="32" spans="1:7" ht="15" customHeight="1" x14ac:dyDescent="0.3">
      <c r="A32" s="2">
        <v>31</v>
      </c>
      <c r="B32" s="3" t="s">
        <v>52</v>
      </c>
      <c r="C32" s="2">
        <v>50</v>
      </c>
      <c r="D32" s="2" t="s">
        <v>7</v>
      </c>
      <c r="E32" s="2" t="s">
        <v>19</v>
      </c>
      <c r="F32" s="4">
        <v>48061</v>
      </c>
      <c r="G32" s="2" t="s">
        <v>31</v>
      </c>
    </row>
    <row r="33" spans="1:7" ht="15" customHeight="1" x14ac:dyDescent="0.3">
      <c r="A33" s="2">
        <v>32</v>
      </c>
      <c r="B33" s="3" t="s">
        <v>53</v>
      </c>
      <c r="C33" s="2">
        <v>43</v>
      </c>
      <c r="D33" s="2" t="s">
        <v>10</v>
      </c>
      <c r="E33" s="2" t="s">
        <v>11</v>
      </c>
      <c r="F33" s="4">
        <v>62575</v>
      </c>
      <c r="G33" s="2" t="s">
        <v>31</v>
      </c>
    </row>
    <row r="34" spans="1:7" ht="15" customHeight="1" x14ac:dyDescent="0.3">
      <c r="A34" s="2">
        <v>33</v>
      </c>
      <c r="B34" s="3" t="s">
        <v>54</v>
      </c>
      <c r="C34" s="2">
        <v>22</v>
      </c>
      <c r="D34" s="2" t="s">
        <v>10</v>
      </c>
      <c r="E34" s="2" t="s">
        <v>26</v>
      </c>
      <c r="F34" s="4">
        <v>43339</v>
      </c>
      <c r="G34" s="2" t="s">
        <v>12</v>
      </c>
    </row>
    <row r="35" spans="1:7" ht="15" customHeight="1" x14ac:dyDescent="0.3">
      <c r="A35" s="2">
        <v>34</v>
      </c>
      <c r="B35" s="3" t="s">
        <v>55</v>
      </c>
      <c r="C35" s="2">
        <v>26</v>
      </c>
      <c r="D35" s="2" t="s">
        <v>10</v>
      </c>
      <c r="E35" s="2" t="s">
        <v>17</v>
      </c>
      <c r="F35" s="4">
        <v>48160</v>
      </c>
      <c r="G35" s="2" t="s">
        <v>33</v>
      </c>
    </row>
    <row r="36" spans="1:7" ht="15" customHeight="1" x14ac:dyDescent="0.3">
      <c r="A36" s="2">
        <v>35</v>
      </c>
      <c r="B36" s="3" t="s">
        <v>56</v>
      </c>
      <c r="C36" s="2">
        <v>39</v>
      </c>
      <c r="D36" s="2" t="s">
        <v>7</v>
      </c>
      <c r="E36" s="2" t="s">
        <v>8</v>
      </c>
      <c r="F36" s="4">
        <v>52334</v>
      </c>
      <c r="G36" s="2" t="s">
        <v>9</v>
      </c>
    </row>
    <row r="37" spans="1:7" ht="15" customHeight="1" x14ac:dyDescent="0.3">
      <c r="A37" s="2">
        <v>36</v>
      </c>
      <c r="B37" s="3" t="s">
        <v>57</v>
      </c>
      <c r="C37" s="2">
        <v>37</v>
      </c>
      <c r="D37" s="2" t="s">
        <v>7</v>
      </c>
      <c r="E37" s="2" t="s">
        <v>28</v>
      </c>
      <c r="F37" s="4">
        <v>47619</v>
      </c>
      <c r="G37" s="2" t="s">
        <v>20</v>
      </c>
    </row>
    <row r="38" spans="1:7" ht="15" customHeight="1" x14ac:dyDescent="0.3">
      <c r="A38" s="2">
        <v>37</v>
      </c>
      <c r="B38" s="3" t="s">
        <v>58</v>
      </c>
      <c r="C38" s="2">
        <v>49</v>
      </c>
      <c r="D38" s="2" t="s">
        <v>7</v>
      </c>
      <c r="E38" s="2" t="s">
        <v>28</v>
      </c>
      <c r="F38" s="4">
        <v>57235</v>
      </c>
      <c r="G38" s="2" t="s">
        <v>22</v>
      </c>
    </row>
    <row r="39" spans="1:7" ht="15" customHeight="1" x14ac:dyDescent="0.3">
      <c r="A39" s="2">
        <v>38</v>
      </c>
      <c r="B39" s="3" t="s">
        <v>59</v>
      </c>
      <c r="C39" s="2">
        <v>28</v>
      </c>
      <c r="D39" s="2" t="s">
        <v>10</v>
      </c>
      <c r="E39" s="2" t="s">
        <v>28</v>
      </c>
      <c r="F39" s="4">
        <v>51931</v>
      </c>
      <c r="G39" s="2" t="s">
        <v>24</v>
      </c>
    </row>
    <row r="40" spans="1:7" ht="15" customHeight="1" x14ac:dyDescent="0.3">
      <c r="A40" s="2">
        <v>39</v>
      </c>
      <c r="B40" s="3" t="s">
        <v>60</v>
      </c>
      <c r="C40" s="2">
        <v>37</v>
      </c>
      <c r="D40" s="2" t="s">
        <v>10</v>
      </c>
      <c r="E40" s="2" t="s">
        <v>8</v>
      </c>
      <c r="F40" s="4">
        <v>51286</v>
      </c>
      <c r="G40" s="2" t="s">
        <v>22</v>
      </c>
    </row>
    <row r="41" spans="1:7" ht="15" customHeight="1" x14ac:dyDescent="0.3">
      <c r="A41" s="2">
        <v>40</v>
      </c>
      <c r="B41" s="3" t="s">
        <v>61</v>
      </c>
      <c r="C41" s="2">
        <v>49</v>
      </c>
      <c r="D41" s="2" t="s">
        <v>10</v>
      </c>
      <c r="E41" s="2" t="s">
        <v>17</v>
      </c>
      <c r="F41" s="4">
        <v>66079</v>
      </c>
      <c r="G41" s="2" t="s">
        <v>31</v>
      </c>
    </row>
    <row r="42" spans="1:7" ht="15" customHeight="1" x14ac:dyDescent="0.3">
      <c r="A42" s="2">
        <v>41</v>
      </c>
      <c r="B42" s="3" t="s">
        <v>62</v>
      </c>
      <c r="C42" s="2">
        <v>50</v>
      </c>
      <c r="D42" s="2" t="s">
        <v>10</v>
      </c>
      <c r="E42" s="2" t="s">
        <v>19</v>
      </c>
      <c r="F42" s="4">
        <v>54684</v>
      </c>
      <c r="G42" s="2" t="s">
        <v>33</v>
      </c>
    </row>
    <row r="43" spans="1:7" ht="15" customHeight="1" x14ac:dyDescent="0.3">
      <c r="A43" s="2">
        <v>42</v>
      </c>
      <c r="B43" s="3" t="s">
        <v>63</v>
      </c>
      <c r="C43" s="2">
        <v>27</v>
      </c>
      <c r="D43" s="2" t="s">
        <v>10</v>
      </c>
      <c r="E43" s="2" t="s">
        <v>8</v>
      </c>
      <c r="F43" s="4">
        <v>44158</v>
      </c>
      <c r="G43" s="2" t="s">
        <v>22</v>
      </c>
    </row>
    <row r="44" spans="1:7" ht="15" customHeight="1" x14ac:dyDescent="0.3">
      <c r="A44" s="2">
        <v>43</v>
      </c>
      <c r="B44" s="3" t="s">
        <v>64</v>
      </c>
      <c r="C44" s="2">
        <v>35</v>
      </c>
      <c r="D44" s="2" t="s">
        <v>7</v>
      </c>
      <c r="E44" s="2" t="s">
        <v>19</v>
      </c>
      <c r="F44" s="4">
        <v>39197</v>
      </c>
      <c r="G44" s="2" t="s">
        <v>50</v>
      </c>
    </row>
    <row r="45" spans="1:7" ht="15" customHeight="1" x14ac:dyDescent="0.3">
      <c r="A45" s="2">
        <v>44</v>
      </c>
      <c r="B45" s="3" t="s">
        <v>65</v>
      </c>
      <c r="C45" s="2">
        <v>46</v>
      </c>
      <c r="D45" s="2" t="s">
        <v>7</v>
      </c>
      <c r="E45" s="2" t="s">
        <v>28</v>
      </c>
      <c r="F45" s="4">
        <v>53673</v>
      </c>
      <c r="G45" s="2" t="s">
        <v>50</v>
      </c>
    </row>
    <row r="46" spans="1:7" ht="15" customHeight="1" x14ac:dyDescent="0.3">
      <c r="A46" s="2">
        <v>45</v>
      </c>
      <c r="B46" s="3" t="s">
        <v>66</v>
      </c>
      <c r="C46" s="2">
        <v>31</v>
      </c>
      <c r="D46" s="2" t="s">
        <v>10</v>
      </c>
      <c r="E46" s="2" t="s">
        <v>17</v>
      </c>
      <c r="F46" s="4">
        <v>53066</v>
      </c>
      <c r="G46" s="2" t="s">
        <v>12</v>
      </c>
    </row>
    <row r="47" spans="1:7" ht="15" customHeight="1" x14ac:dyDescent="0.3">
      <c r="A47" s="2">
        <v>46</v>
      </c>
      <c r="B47" s="3" t="s">
        <v>67</v>
      </c>
      <c r="C47" s="2">
        <v>42</v>
      </c>
      <c r="D47" s="2" t="s">
        <v>10</v>
      </c>
      <c r="E47" s="2" t="s">
        <v>19</v>
      </c>
      <c r="F47" s="4">
        <v>49571</v>
      </c>
      <c r="G47" s="2" t="s">
        <v>22</v>
      </c>
    </row>
    <row r="48" spans="1:7" ht="15" customHeight="1" x14ac:dyDescent="0.3">
      <c r="A48" s="2">
        <v>47</v>
      </c>
      <c r="B48" s="3" t="s">
        <v>68</v>
      </c>
      <c r="C48" s="2">
        <v>25</v>
      </c>
      <c r="D48" s="2" t="s">
        <v>10</v>
      </c>
      <c r="E48" s="2" t="s">
        <v>8</v>
      </c>
      <c r="F48" s="4">
        <v>37622</v>
      </c>
      <c r="G48" s="2" t="s">
        <v>20</v>
      </c>
    </row>
    <row r="49" spans="1:7" ht="15" customHeight="1" x14ac:dyDescent="0.3">
      <c r="A49" s="2">
        <v>48</v>
      </c>
      <c r="B49" s="3" t="s">
        <v>69</v>
      </c>
      <c r="C49" s="2">
        <v>47</v>
      </c>
      <c r="D49" s="2" t="s">
        <v>10</v>
      </c>
      <c r="E49" s="2" t="s">
        <v>11</v>
      </c>
      <c r="F49" s="4">
        <v>59533</v>
      </c>
      <c r="G49" s="2" t="s">
        <v>12</v>
      </c>
    </row>
    <row r="50" spans="1:7" ht="15" customHeight="1" x14ac:dyDescent="0.3">
      <c r="A50" s="2">
        <v>49</v>
      </c>
      <c r="B50" s="3" t="s">
        <v>70</v>
      </c>
      <c r="C50" s="2">
        <v>48</v>
      </c>
      <c r="D50" s="2" t="s">
        <v>7</v>
      </c>
      <c r="E50" s="2" t="s">
        <v>17</v>
      </c>
      <c r="F50" s="4">
        <v>61346</v>
      </c>
      <c r="G50" s="2" t="s">
        <v>24</v>
      </c>
    </row>
    <row r="51" spans="1:7" ht="15" customHeight="1" x14ac:dyDescent="0.3">
      <c r="A51" s="2">
        <v>50</v>
      </c>
      <c r="B51" s="3" t="s">
        <v>71</v>
      </c>
      <c r="C51" s="2">
        <v>38</v>
      </c>
      <c r="D51" s="2" t="s">
        <v>7</v>
      </c>
      <c r="E51" s="2" t="s">
        <v>8</v>
      </c>
      <c r="F51" s="4">
        <v>54004</v>
      </c>
      <c r="G51" s="2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opLeftCell="A8" zoomScaleNormal="100" workbookViewId="0">
      <selection activeCell="A30" sqref="A30"/>
    </sheetView>
  </sheetViews>
  <sheetFormatPr defaultColWidth="8.6640625" defaultRowHeight="14.4" x14ac:dyDescent="0.3"/>
  <cols>
    <col min="1" max="1" width="25" customWidth="1"/>
    <col min="2" max="2" width="20" customWidth="1"/>
    <col min="3" max="3" width="15" customWidth="1"/>
    <col min="4" max="4" width="25" customWidth="1"/>
    <col min="5" max="5" width="18" customWidth="1"/>
  </cols>
  <sheetData>
    <row r="1" spans="1:6" ht="24.75" customHeight="1" x14ac:dyDescent="0.3">
      <c r="A1" s="19" t="s">
        <v>72</v>
      </c>
      <c r="B1" s="19"/>
      <c r="C1" s="19"/>
      <c r="D1" s="19"/>
      <c r="E1" s="19"/>
      <c r="F1" s="19"/>
    </row>
    <row r="3" spans="1:6" ht="15" customHeight="1" x14ac:dyDescent="0.3">
      <c r="A3" s="23" t="s">
        <v>73</v>
      </c>
      <c r="D3" s="23" t="s">
        <v>74</v>
      </c>
    </row>
    <row r="4" spans="1:6" ht="15" customHeight="1" x14ac:dyDescent="0.3">
      <c r="A4" s="13" t="s">
        <v>4</v>
      </c>
      <c r="B4" s="13" t="s">
        <v>75</v>
      </c>
      <c r="C4" s="13" t="s">
        <v>76</v>
      </c>
      <c r="D4" s="14" t="s">
        <v>77</v>
      </c>
      <c r="E4" s="5">
        <f>COUNTA('Employee Data'!A2:A51)</f>
        <v>50</v>
      </c>
    </row>
    <row r="5" spans="1:6" ht="15" customHeight="1" x14ac:dyDescent="0.3">
      <c r="A5" t="s">
        <v>19</v>
      </c>
      <c r="B5" s="6">
        <f>COUNTIF('Employee Data'!E:E,A5)</f>
        <v>9</v>
      </c>
      <c r="C5" s="7">
        <f>B5/COUNTA('Employee Data'!E2:E51)</f>
        <v>0.18</v>
      </c>
      <c r="D5" s="15" t="s">
        <v>78</v>
      </c>
      <c r="E5" s="5">
        <f>COUNTIF('Employee Data'!D:D,"Male")</f>
        <v>28</v>
      </c>
    </row>
    <row r="6" spans="1:6" ht="15" customHeight="1" x14ac:dyDescent="0.3">
      <c r="A6" t="s">
        <v>8</v>
      </c>
      <c r="B6" s="6">
        <f>COUNTIF('Employee Data'!E:E,A6)</f>
        <v>10</v>
      </c>
      <c r="C6" s="7">
        <f>B6/COUNTA('Employee Data'!E2:E51)</f>
        <v>0.2</v>
      </c>
      <c r="D6" s="16" t="s">
        <v>79</v>
      </c>
      <c r="E6" s="5">
        <f>COUNTIF('Employee Data'!D:D,"Female")</f>
        <v>22</v>
      </c>
    </row>
    <row r="7" spans="1:6" ht="15" customHeight="1" x14ac:dyDescent="0.3">
      <c r="A7" t="s">
        <v>17</v>
      </c>
      <c r="B7" s="6">
        <f>COUNTIF('Employee Data'!E:E,A7)</f>
        <v>8</v>
      </c>
      <c r="C7" s="7">
        <f>B7/COUNTA('Employee Data'!E2:E51)</f>
        <v>0.16</v>
      </c>
      <c r="D7" s="16" t="s">
        <v>80</v>
      </c>
      <c r="E7" s="8">
        <f>AVERAGE('Employee Data'!C2:C51)</f>
        <v>41.28</v>
      </c>
    </row>
    <row r="8" spans="1:6" ht="15" customHeight="1" x14ac:dyDescent="0.3">
      <c r="A8" t="s">
        <v>28</v>
      </c>
      <c r="B8" s="6">
        <f>COUNTIF('Employee Data'!E:E,A8)</f>
        <v>7</v>
      </c>
      <c r="C8" s="7">
        <f>B8/COUNTA('Employee Data'!E2:E51)</f>
        <v>0.14000000000000001</v>
      </c>
      <c r="D8" s="16" t="s">
        <v>81</v>
      </c>
      <c r="E8" s="5">
        <f>AVERAGE('Employee Data'!F2:F51)</f>
        <v>53187.48</v>
      </c>
    </row>
    <row r="9" spans="1:6" ht="15" customHeight="1" x14ac:dyDescent="0.3">
      <c r="A9" t="s">
        <v>11</v>
      </c>
      <c r="B9" s="6">
        <f>COUNTIF('Employee Data'!E:E,A9)</f>
        <v>8</v>
      </c>
      <c r="C9" s="7">
        <f>B9/COUNTA('Employee Data'!E2:E51)</f>
        <v>0.16</v>
      </c>
      <c r="D9" s="16" t="s">
        <v>82</v>
      </c>
      <c r="E9" s="5">
        <f>MAX('Employee Data'!F2:F51)</f>
        <v>73946</v>
      </c>
    </row>
    <row r="10" spans="1:6" ht="15" customHeight="1" x14ac:dyDescent="0.3">
      <c r="A10" t="s">
        <v>26</v>
      </c>
      <c r="B10" s="6">
        <f>COUNTIF('Employee Data'!E:E,A10)</f>
        <v>8</v>
      </c>
      <c r="C10" s="7">
        <f>B10/COUNTA('Employee Data'!E2:E51)</f>
        <v>0.16</v>
      </c>
      <c r="D10" s="16" t="s">
        <v>83</v>
      </c>
      <c r="E10" s="5">
        <f>MIN('Employee Data'!F2:F51)</f>
        <v>37622</v>
      </c>
    </row>
    <row r="11" spans="1:6" ht="15" customHeight="1" x14ac:dyDescent="0.3">
      <c r="A11" s="9" t="s">
        <v>84</v>
      </c>
      <c r="B11" s="10">
        <f>SUM(B5:B10)</f>
        <v>50</v>
      </c>
    </row>
    <row r="14" spans="1:6" ht="15" customHeight="1" x14ac:dyDescent="0.3">
      <c r="A14" s="23" t="s">
        <v>85</v>
      </c>
    </row>
    <row r="15" spans="1:6" ht="15" customHeight="1" x14ac:dyDescent="0.3">
      <c r="A15" s="13" t="s">
        <v>4</v>
      </c>
      <c r="B15" s="13" t="s">
        <v>81</v>
      </c>
    </row>
    <row r="16" spans="1:6" ht="15" customHeight="1" x14ac:dyDescent="0.3">
      <c r="A16" t="s">
        <v>19</v>
      </c>
      <c r="B16" s="5">
        <f>AVERAGEIF('Employee Data'!E:E,A16,'Employee Data'!F:F)</f>
        <v>47441.777777777781</v>
      </c>
    </row>
    <row r="17" spans="1:3" ht="15" customHeight="1" x14ac:dyDescent="0.3">
      <c r="A17" t="s">
        <v>8</v>
      </c>
      <c r="B17" s="5">
        <f>AVERAGEIF('Employee Data'!E:E,A17,'Employee Data'!F:F)</f>
        <v>49050</v>
      </c>
    </row>
    <row r="18" spans="1:3" ht="15" customHeight="1" x14ac:dyDescent="0.3">
      <c r="A18" t="s">
        <v>17</v>
      </c>
      <c r="B18" s="5">
        <f>AVERAGEIF('Employee Data'!E:E,A18,'Employee Data'!F:F)</f>
        <v>59408.125</v>
      </c>
    </row>
    <row r="19" spans="1:3" ht="15" customHeight="1" x14ac:dyDescent="0.3">
      <c r="A19" t="s">
        <v>28</v>
      </c>
      <c r="B19" s="5">
        <f>AVERAGEIF('Employee Data'!E:E,A19,'Employee Data'!F:F)</f>
        <v>52269.142857142855</v>
      </c>
    </row>
    <row r="20" spans="1:3" ht="15" customHeight="1" x14ac:dyDescent="0.3">
      <c r="A20" t="s">
        <v>11</v>
      </c>
      <c r="B20" s="5">
        <f>AVERAGEIF('Employee Data'!E:E,A20,'Employee Data'!F:F)</f>
        <v>65122.25</v>
      </c>
    </row>
    <row r="21" spans="1:3" ht="15" customHeight="1" x14ac:dyDescent="0.3">
      <c r="A21" t="s">
        <v>26</v>
      </c>
      <c r="B21" s="5">
        <f>AVERAGEIF('Employee Data'!E:E,A21,'Employee Data'!F:F)</f>
        <v>47471.375</v>
      </c>
    </row>
    <row r="23" spans="1:3" ht="15" customHeight="1" x14ac:dyDescent="0.3">
      <c r="A23" s="23" t="s">
        <v>86</v>
      </c>
    </row>
    <row r="24" spans="1:3" ht="15" customHeight="1" x14ac:dyDescent="0.3">
      <c r="A24" s="13" t="s">
        <v>3</v>
      </c>
      <c r="B24" s="13" t="s">
        <v>75</v>
      </c>
      <c r="C24" s="13" t="s">
        <v>76</v>
      </c>
    </row>
    <row r="25" spans="1:3" ht="15" customHeight="1" x14ac:dyDescent="0.3">
      <c r="A25" t="s">
        <v>10</v>
      </c>
      <c r="B25" s="6">
        <f>COUNTIF('Employee Data'!D:D,A25)</f>
        <v>28</v>
      </c>
      <c r="C25" s="7">
        <f>B25/COUNTA('Employee Data'!D2:D51)</f>
        <v>0.56000000000000005</v>
      </c>
    </row>
    <row r="26" spans="1:3" ht="15" customHeight="1" x14ac:dyDescent="0.3">
      <c r="A26" t="s">
        <v>7</v>
      </c>
      <c r="B26" s="6">
        <f>COUNTIF('Employee Data'!D:D,A26)</f>
        <v>22</v>
      </c>
      <c r="C26" s="7">
        <f>B26/COUNTA('Employee Data'!D2:D51)</f>
        <v>0.44</v>
      </c>
    </row>
    <row r="30" spans="1:3" x14ac:dyDescent="0.3">
      <c r="A30" s="24" t="s">
        <v>87</v>
      </c>
      <c r="B30" s="17"/>
    </row>
    <row r="31" spans="1:3" x14ac:dyDescent="0.3">
      <c r="A31" s="18" t="s">
        <v>88</v>
      </c>
      <c r="B31" s="18" t="s">
        <v>75</v>
      </c>
    </row>
    <row r="32" spans="1:3" x14ac:dyDescent="0.3">
      <c r="A32" s="6" t="s">
        <v>89</v>
      </c>
      <c r="B32" s="6">
        <f>COUNTIFS('Employee Data'!C:C,"&gt;=20",'Employee Data'!C:C,"&lt;=30")</f>
        <v>11</v>
      </c>
    </row>
    <row r="33" spans="1:2" x14ac:dyDescent="0.3">
      <c r="A33" s="6" t="s">
        <v>90</v>
      </c>
      <c r="B33" s="6">
        <f>COUNTIFS('Employee Data'!C:C,"&gt;=31",'Employee Data'!C:C,"&lt;=40")</f>
        <v>11</v>
      </c>
    </row>
    <row r="34" spans="1:2" x14ac:dyDescent="0.3">
      <c r="A34" s="6" t="s">
        <v>91</v>
      </c>
      <c r="B34" s="6">
        <f>COUNTIFS('Employee Data'!C:C,"&gt;=41",'Employee Data'!C:C,"&lt;=50")</f>
        <v>17</v>
      </c>
    </row>
    <row r="35" spans="1:2" x14ac:dyDescent="0.3">
      <c r="A35" s="6" t="s">
        <v>92</v>
      </c>
      <c r="B35" s="6">
        <f>COUNTIFS('Employee Data'!C:C,"&gt;=51",'Employee Data'!C:C,"&lt;=60")</f>
        <v>11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zoomScaleNormal="100" workbookViewId="0">
      <selection sqref="A1:F1"/>
    </sheetView>
  </sheetViews>
  <sheetFormatPr defaultColWidth="8.6640625" defaultRowHeight="14.4" x14ac:dyDescent="0.3"/>
  <cols>
    <col min="1" max="1" width="20" customWidth="1"/>
  </cols>
  <sheetData>
    <row r="1" spans="1:6" ht="24.75" customHeight="1" x14ac:dyDescent="0.3">
      <c r="A1" s="19" t="s">
        <v>105</v>
      </c>
      <c r="B1" s="19"/>
      <c r="C1" s="19"/>
      <c r="D1" s="19"/>
      <c r="E1" s="19"/>
      <c r="F1" s="19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zoomScaleNormal="100" workbookViewId="0">
      <selection activeCell="A9" sqref="A9"/>
    </sheetView>
  </sheetViews>
  <sheetFormatPr defaultColWidth="8.6640625" defaultRowHeight="14.4" x14ac:dyDescent="0.3"/>
  <cols>
    <col min="1" max="1" width="70" customWidth="1"/>
    <col min="2" max="4" width="20" customWidth="1"/>
  </cols>
  <sheetData>
    <row r="1" spans="1:4" ht="30" customHeight="1" x14ac:dyDescent="0.3">
      <c r="A1" s="21" t="s">
        <v>103</v>
      </c>
      <c r="B1" s="21"/>
      <c r="C1" s="21"/>
      <c r="D1" s="21"/>
    </row>
    <row r="3" spans="1:4" ht="15" customHeight="1" x14ac:dyDescent="0.3">
      <c r="A3" s="22" t="s">
        <v>104</v>
      </c>
    </row>
    <row r="4" spans="1:4" ht="15" customHeight="1" x14ac:dyDescent="0.3">
      <c r="A4" s="1" t="s">
        <v>93</v>
      </c>
      <c r="B4" s="1"/>
      <c r="C4" s="1"/>
      <c r="D4" s="1"/>
    </row>
    <row r="5" spans="1:4" ht="15" customHeight="1" x14ac:dyDescent="0.3">
      <c r="A5" s="1"/>
      <c r="B5" s="1"/>
      <c r="C5" s="1"/>
      <c r="D5" s="1"/>
    </row>
    <row r="6" spans="1:4" ht="15" customHeight="1" x14ac:dyDescent="0.3">
      <c r="A6" s="1"/>
      <c r="B6" s="1"/>
      <c r="C6" s="1"/>
      <c r="D6" s="1"/>
    </row>
    <row r="8" spans="1:4" ht="15" customHeight="1" x14ac:dyDescent="0.3">
      <c r="A8" s="20" t="s">
        <v>94</v>
      </c>
    </row>
    <row r="9" spans="1:4" ht="15" customHeight="1" x14ac:dyDescent="0.3"/>
    <row r="10" spans="1:4" ht="15" customHeight="1" x14ac:dyDescent="0.3">
      <c r="A10" t="s">
        <v>95</v>
      </c>
    </row>
    <row r="11" spans="1:4" ht="15" customHeight="1" x14ac:dyDescent="0.3">
      <c r="A11" t="s">
        <v>96</v>
      </c>
    </row>
    <row r="14" spans="1:4" ht="15" customHeight="1" x14ac:dyDescent="0.3">
      <c r="A14" s="20" t="s">
        <v>97</v>
      </c>
    </row>
    <row r="15" spans="1:4" ht="15" customHeight="1" x14ac:dyDescent="0.3">
      <c r="A15" t="s">
        <v>100</v>
      </c>
    </row>
    <row r="16" spans="1:4" ht="15" customHeight="1" x14ac:dyDescent="0.3">
      <c r="A16" t="s">
        <v>101</v>
      </c>
    </row>
    <row r="17" spans="1:1" ht="15" customHeight="1" x14ac:dyDescent="0.3">
      <c r="A17" t="s">
        <v>102</v>
      </c>
    </row>
    <row r="20" spans="1:1" ht="15" customHeight="1" x14ac:dyDescent="0.3">
      <c r="A20" s="11"/>
    </row>
    <row r="21" spans="1:1" ht="15" customHeight="1" x14ac:dyDescent="0.3"/>
    <row r="22" spans="1:1" ht="15" customHeight="1" x14ac:dyDescent="0.3"/>
    <row r="23" spans="1:1" ht="15" customHeight="1" x14ac:dyDescent="0.3"/>
  </sheetData>
  <mergeCells count="2">
    <mergeCell ref="A1:D1"/>
    <mergeCell ref="A4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Data</vt:lpstr>
      <vt:lpstr>Analysis</vt:lpstr>
      <vt:lpstr>Charts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NAME---- RITIK GAMBHIR</dc:creator>
  <dc:description/>
  <cp:lastModifiedBy>Riyanshi Gambhir</cp:lastModifiedBy>
  <cp:revision>1</cp:revision>
  <dcterms:created xsi:type="dcterms:W3CDTF">2026-06-15T06:47:23Z</dcterms:created>
  <dcterms:modified xsi:type="dcterms:W3CDTF">2026-06-15T09:25:32Z</dcterms:modified>
  <dc:language>en-US</dc:language>
</cp:coreProperties>
</file>